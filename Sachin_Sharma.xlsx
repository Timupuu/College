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false" localSheetId="0" name="_xlnm.Print_Area" vbProcedure="false">Sheet1!$A:$D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<sst xmlns="http://schemas.openxmlformats.org/spreadsheetml/2006/main" count="37" uniqueCount="34">
  <si>
    <t xml:space="preserve">SACHIN SHARMA </t>
  </si>
  <si>
    <t xml:space="preserve">Deposit and Withdraw</t>
  </si>
  <si>
    <t xml:space="preserve">Remarks</t>
  </si>
  <si>
    <t xml:space="preserve">Deposit</t>
  </si>
  <si>
    <t xml:space="preserve">Withdraw</t>
  </si>
  <si>
    <t xml:space="preserve">Available Balance</t>
  </si>
  <si>
    <t xml:space="preserve">Shrijal</t>
  </si>
  <si>
    <t xml:space="preserve">Namuna</t>
  </si>
  <si>
    <t xml:space="preserve">Devi</t>
  </si>
  <si>
    <t xml:space="preserve">Man Kumar Soti</t>
  </si>
  <si>
    <t xml:space="preserve">Saugat Rai</t>
  </si>
  <si>
    <t xml:space="preserve">Sandip</t>
  </si>
  <si>
    <t xml:space="preserve">Amar B</t>
  </si>
  <si>
    <t xml:space="preserve">Shankhar Bahadur Shahi</t>
  </si>
  <si>
    <t xml:space="preserve">Sabitra Rai</t>
  </si>
  <si>
    <t xml:space="preserve">Sonam Thapa</t>
  </si>
  <si>
    <t xml:space="preserve">Amoliya Devi Mandal</t>
  </si>
  <si>
    <t xml:space="preserve">Sneha Gurung</t>
  </si>
  <si>
    <t xml:space="preserve">Sajina Pun</t>
  </si>
  <si>
    <t xml:space="preserve">Jamati Fakami</t>
  </si>
  <si>
    <t xml:space="preserve">Darshan Gurung</t>
  </si>
  <si>
    <t xml:space="preserve">MD Intaj</t>
  </si>
  <si>
    <t xml:space="preserve">Rakshy</t>
  </si>
  <si>
    <t xml:space="preserve">Bishna KC</t>
  </si>
  <si>
    <t xml:space="preserve">Chandra</t>
  </si>
  <si>
    <t xml:space="preserve">.</t>
  </si>
  <si>
    <t xml:space="preserve">Tarkra</t>
  </si>
  <si>
    <t xml:space="preserve">Angjuk Bhote</t>
  </si>
  <si>
    <t xml:space="preserve">Kreeti Bagbal Magar</t>
  </si>
  <si>
    <t xml:space="preserve">Nisha Rijal</t>
  </si>
  <si>
    <t xml:space="preserve">BCM parking account</t>
  </si>
  <si>
    <t xml:space="preserve">Bibek Tamanag</t>
  </si>
  <si>
    <t xml:space="preserve">Amisha Patel</t>
  </si>
  <si>
    <t xml:space="preserve">Manisha Sharma Acharya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</si>
</sst>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/yy"/>
    <numFmt numFmtId="166" formatCode="[$रू-461]\ #,##0.00;[RED]\-[$रू-461]\ #,##0.00"/>
  </numFmts>
  <fonts count="4">
    <font>
      <sz val="10"/>
      <name val="FreeSan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5">
    <fill>
      <patternFill patternType="none"/>
    </fill>
    <fill>
      <patternFill patternType="gray125"/>
    </fill>
    <fill>
      <patternFill patternType="solid">
        <fgColor rgb="FF3FAF46"/>
        <bgColor rgb="FF33CCCC"/>
      </patternFill>
    </fill>
    <fill>
      <patternFill patternType="solid">
        <fgColor rgb="FFFF3838"/>
        <bgColor rgb="FFFF0000"/>
      </patternFill>
    </fill>
    <fill>
      <patternFill patternType="solid">
        <fgColor rgb="FFFFFF38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4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38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3838"/>
      <rgbColor rgb="FF666699"/>
      <rgbColor rgb="FF969696"/>
      <rgbColor rgb="FF003366"/>
      <rgbColor rgb="FF3FAF4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71"/>
  <sheetViews>
    <sheetView showFormulas="false" showGridLines="true" showRowColHeaders="true" showZeros="true" rightToLeft="false" tabSelected="true" showOutlineSymbols="true" defaultGridColor="true" view="normal" topLeftCell="A32" colorId="64" zoomScale="100" zoomScaleNormal="100" zoomScalePageLayoutView="100" workbookViewId="0">
      <selection pane="topLeft" activeCell="C72" activeCellId="0" sqref="C7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23.13"/>
    <col collapsed="false" customWidth="true" hidden="false" outlineLevel="0" max="4" min="2" style="1" width="23.41"/>
  </cols>
  <sheetData>
    <row r="1" customFormat="false" ht="12.8" hidden="false" customHeight="false" outlineLevel="0" collapsed="false">
      <c r="A1" s="2"/>
      <c r="B1" s="2"/>
      <c r="C1" s="2"/>
      <c r="D1" s="2"/>
    </row>
    <row r="2" customFormat="false" ht="12.8" hidden="false" customHeight="true" outlineLevel="0" collapsed="false">
      <c r="A2" s="2" t="s">
        <v>0</v>
      </c>
      <c r="B2" s="2" t="s">
        <v>1</v>
      </c>
      <c r="C2" s="2"/>
      <c r="D2" s="2"/>
    </row>
    <row r="3" customFormat="false" ht="12.8" hidden="false" customHeight="true" outlineLevel="0" collapsed="false">
      <c r="A3" s="2"/>
      <c r="B3" s="2"/>
      <c r="C3" s="2"/>
      <c r="D3" s="2"/>
    </row>
    <row r="4" customFormat="false" ht="12.8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2.8" hidden="false" customHeight="false" outlineLevel="0" collapsed="false">
      <c r="A5" s="4" t="n">
        <v>46013</v>
      </c>
      <c r="B5" s="5"/>
      <c r="C5" s="6"/>
      <c r="D5" s="7" t="n">
        <f aca="false">D8+B5-C5</f>
        <v>0</v>
      </c>
    </row>
    <row r="6" customFormat="false" ht="12.8" hidden="false" customHeight="false" outlineLevel="0" collapsed="false">
      <c r="A6" s="2" t="s">
        <v>6</v>
      </c>
      <c r="B6" s="5" t="n">
        <v>290000</v>
      </c>
      <c r="C6" s="6"/>
      <c r="D6" s="7" t="n">
        <f aca="false">D5+B6-C6</f>
        <v>290000</v>
      </c>
    </row>
    <row r="7" customFormat="false" ht="12.8" hidden="false" customHeight="false" outlineLevel="0" collapsed="false">
      <c r="A7" s="2" t="s">
        <v>7</v>
      </c>
      <c r="B7" s="5" t="n">
        <v>280000</v>
      </c>
      <c r="C7" s="6"/>
      <c r="D7" s="7" t="n">
        <f aca="false">D6+B7-C7</f>
        <v>570000</v>
      </c>
    </row>
    <row r="8" customFormat="false" ht="12.8" hidden="false" customHeight="false" outlineLevel="0" collapsed="false">
      <c r="A8" s="4" t="n">
        <v>46046</v>
      </c>
      <c r="B8" s="5"/>
      <c r="C8" s="6"/>
      <c r="D8" s="7"/>
    </row>
    <row r="9" customFormat="false" ht="12.8" hidden="false" customHeight="false" outlineLevel="0" collapsed="false">
      <c r="A9" s="2" t="s">
        <v>8</v>
      </c>
      <c r="B9" s="5"/>
      <c r="C9" s="6" t="n">
        <v>500008</v>
      </c>
      <c r="D9" s="7" t="n">
        <f aca="false">D7+B9-C9</f>
        <v>69992</v>
      </c>
    </row>
    <row r="10" customFormat="false" ht="12.8" hidden="false" customHeight="false" outlineLevel="0" collapsed="false">
      <c r="A10" s="4" t="n">
        <v>46093</v>
      </c>
      <c r="B10" s="5"/>
      <c r="C10" s="6"/>
      <c r="D10" s="7" t="n">
        <f aca="false">D9+B10-C10</f>
        <v>69992</v>
      </c>
    </row>
    <row r="11" customFormat="false" ht="12.8" hidden="false" customHeight="false" outlineLevel="0" collapsed="false">
      <c r="A11" s="8" t="s">
        <v>9</v>
      </c>
      <c r="B11" s="5" t="n">
        <v>300000</v>
      </c>
      <c r="C11" s="6"/>
      <c r="D11" s="7" t="n">
        <f aca="false">D10+B11-C11</f>
        <v>369992</v>
      </c>
    </row>
    <row r="12" customFormat="false" ht="12.8" hidden="false" customHeight="false" outlineLevel="0" collapsed="false">
      <c r="A12" s="8" t="s">
        <v>10</v>
      </c>
      <c r="B12" s="5" t="n">
        <v>320000</v>
      </c>
      <c r="C12" s="6"/>
      <c r="D12" s="7" t="n">
        <f aca="false">D11+B12-C12</f>
        <v>689992</v>
      </c>
    </row>
    <row r="13" customFormat="false" ht="12.8" hidden="false" customHeight="false" outlineLevel="0" collapsed="false">
      <c r="A13" s="8" t="s">
        <v>11</v>
      </c>
      <c r="B13" s="5" t="n">
        <v>200000</v>
      </c>
      <c r="C13" s="6"/>
      <c r="D13" s="7" t="n">
        <f aca="false">D12+B13-C13</f>
        <v>889992</v>
      </c>
    </row>
    <row r="14" customFormat="false" ht="12.8" hidden="false" customHeight="false" outlineLevel="0" collapsed="false">
      <c r="A14" s="9" t="n">
        <v>46094</v>
      </c>
      <c r="B14" s="5"/>
      <c r="C14" s="6"/>
      <c r="D14" s="7"/>
    </row>
    <row r="15" customFormat="false" ht="12.8" hidden="false" customHeight="false" outlineLevel="0" collapsed="false">
      <c r="A15" s="8" t="s">
        <v>11</v>
      </c>
      <c r="B15" s="5" t="n">
        <v>110000</v>
      </c>
      <c r="C15" s="6"/>
      <c r="D15" s="7" t="n">
        <f aca="false">D13+B15-C15</f>
        <v>999992</v>
      </c>
    </row>
    <row r="16" customFormat="false" ht="12.8" hidden="false" customHeight="false" outlineLevel="0" collapsed="false">
      <c r="A16" s="8" t="s">
        <v>12</v>
      </c>
      <c r="B16" s="5" t="n">
        <v>200000</v>
      </c>
      <c r="C16" s="6"/>
      <c r="D16" s="7" t="n">
        <f aca="false">D15+B16-C16</f>
        <v>1199992</v>
      </c>
    </row>
    <row r="17" customFormat="false" ht="12.8" hidden="false" customHeight="false" outlineLevel="0" collapsed="false">
      <c r="A17" s="8" t="s">
        <v>13</v>
      </c>
      <c r="B17" s="5" t="n">
        <v>300000</v>
      </c>
      <c r="C17" s="6"/>
      <c r="D17" s="7" t="n">
        <f aca="false">D16+B17-C17</f>
        <v>1499992</v>
      </c>
    </row>
    <row r="18" customFormat="false" ht="12.8" hidden="false" customHeight="false" outlineLevel="0" collapsed="false">
      <c r="A18" s="8" t="s">
        <v>14</v>
      </c>
      <c r="B18" s="5" t="n">
        <v>310000</v>
      </c>
      <c r="C18" s="6"/>
      <c r="D18" s="7" t="n">
        <f aca="false">D17+B18-C18</f>
        <v>1809992</v>
      </c>
    </row>
    <row r="19" customFormat="false" ht="12.8" hidden="false" customHeight="false" outlineLevel="0" collapsed="false">
      <c r="A19" s="9" t="n">
        <v>46095</v>
      </c>
      <c r="B19" s="5"/>
      <c r="C19" s="6"/>
      <c r="D19" s="7"/>
    </row>
    <row r="20" customFormat="false" ht="12.8" hidden="false" customHeight="false" outlineLevel="0" collapsed="false">
      <c r="A20" s="8" t="s">
        <v>12</v>
      </c>
      <c r="B20" s="5" t="n">
        <v>110000</v>
      </c>
      <c r="C20" s="6"/>
      <c r="D20" s="7" t="n">
        <f aca="false">D18+B20-C20</f>
        <v>1919992</v>
      </c>
    </row>
    <row r="21" customFormat="false" ht="12.8" hidden="false" customHeight="false" outlineLevel="0" collapsed="false">
      <c r="A21" s="9" t="n">
        <v>46096</v>
      </c>
      <c r="B21" s="5"/>
      <c r="C21" s="6"/>
      <c r="D21" s="7"/>
    </row>
    <row r="22" customFormat="false" ht="12.8" hidden="false" customHeight="false" outlineLevel="0" collapsed="false">
      <c r="A22" s="8" t="s">
        <v>15</v>
      </c>
      <c r="B22" s="5" t="n">
        <v>310000</v>
      </c>
      <c r="C22" s="6"/>
      <c r="D22" s="7" t="n">
        <f aca="false">D20+B22-C22</f>
        <v>2229992</v>
      </c>
    </row>
    <row r="23" customFormat="false" ht="12.8" hidden="false" customHeight="false" outlineLevel="0" collapsed="false">
      <c r="A23" s="8" t="s">
        <v>16</v>
      </c>
      <c r="B23" s="5" t="n">
        <v>300000</v>
      </c>
      <c r="C23" s="6"/>
      <c r="D23" s="7" t="n">
        <f aca="false">D22+B23-C23</f>
        <v>2529992</v>
      </c>
    </row>
    <row r="24" customFormat="false" ht="12.8" hidden="false" customHeight="false" outlineLevel="0" collapsed="false">
      <c r="A24" s="8" t="s">
        <v>17</v>
      </c>
      <c r="B24" s="5" t="n">
        <v>300000</v>
      </c>
      <c r="C24" s="6"/>
      <c r="D24" s="7" t="n">
        <f aca="false">D23+B24-C24</f>
        <v>2829992</v>
      </c>
    </row>
    <row r="25" customFormat="false" ht="12.8" hidden="false" customHeight="false" outlineLevel="0" collapsed="false">
      <c r="A25" s="9" t="n">
        <v>46097</v>
      </c>
      <c r="B25" s="5"/>
      <c r="C25" s="6"/>
      <c r="D25" s="7"/>
    </row>
    <row r="26" customFormat="false" ht="12.8" hidden="false" customHeight="false" outlineLevel="0" collapsed="false">
      <c r="A26" s="8" t="s">
        <v>18</v>
      </c>
      <c r="B26" s="5" t="n">
        <v>300000</v>
      </c>
      <c r="C26" s="6"/>
      <c r="D26" s="7" t="n">
        <f aca="false">D24+B26-C26</f>
        <v>3129992</v>
      </c>
    </row>
    <row r="27" customFormat="false" ht="12.8" hidden="false" customHeight="false" outlineLevel="0" collapsed="false">
      <c r="A27" s="8" t="s">
        <v>19</v>
      </c>
      <c r="B27" s="5" t="n">
        <v>300000</v>
      </c>
      <c r="C27" s="6"/>
      <c r="D27" s="7" t="n">
        <f aca="false">D26+B27-C27</f>
        <v>3429992</v>
      </c>
    </row>
    <row r="28" customFormat="false" ht="12.8" hidden="false" customHeight="false" outlineLevel="0" collapsed="false">
      <c r="A28" s="8" t="s">
        <v>20</v>
      </c>
      <c r="B28" s="5" t="n">
        <v>300000</v>
      </c>
      <c r="C28" s="6"/>
      <c r="D28" s="7" t="n">
        <f aca="false">D27+B28-C28</f>
        <v>3729992</v>
      </c>
    </row>
    <row r="29" customFormat="false" ht="12.8" hidden="false" customHeight="false" outlineLevel="0" collapsed="false">
      <c r="A29" s="9" t="n">
        <v>46098</v>
      </c>
      <c r="B29" s="5"/>
      <c r="C29" s="6"/>
      <c r="D29" s="7"/>
    </row>
    <row r="30" customFormat="false" ht="12.8" hidden="false" customHeight="false" outlineLevel="0" collapsed="false">
      <c r="A30" s="8" t="s">
        <v>21</v>
      </c>
      <c r="B30" s="5" t="n">
        <v>300000</v>
      </c>
      <c r="C30" s="6"/>
      <c r="D30" s="7" t="n">
        <f aca="false">D28+B30-C30</f>
        <v>4029992</v>
      </c>
    </row>
    <row r="31" customFormat="false" ht="12.8" hidden="false" customHeight="false" outlineLevel="0" collapsed="false">
      <c r="A31" s="9" t="n">
        <v>46100</v>
      </c>
      <c r="B31" s="5"/>
      <c r="C31" s="6"/>
      <c r="D31" s="7"/>
    </row>
    <row r="32" customFormat="false" ht="12.8" hidden="false" customHeight="false" outlineLevel="0" collapsed="false">
      <c r="A32" s="8" t="s">
        <v>22</v>
      </c>
      <c r="B32" s="5" t="n">
        <v>210000</v>
      </c>
      <c r="C32" s="6"/>
      <c r="D32" s="7" t="n">
        <f aca="false">D30+B32-C32</f>
        <v>4239992</v>
      </c>
    </row>
    <row r="33" customFormat="false" ht="12.8" hidden="false" customHeight="false" outlineLevel="0" collapsed="false">
      <c r="A33" s="8" t="s">
        <v>23</v>
      </c>
      <c r="B33" s="5" t="n">
        <v>300000</v>
      </c>
      <c r="C33" s="6"/>
      <c r="D33" s="7" t="n">
        <f aca="false">D32+B33-C33</f>
        <v>4539992</v>
      </c>
    </row>
    <row r="34" customFormat="false" ht="12.8" hidden="false" customHeight="false" outlineLevel="0" collapsed="false">
      <c r="A34" s="8" t="s">
        <v>24</v>
      </c>
      <c r="B34" s="5" t="n">
        <v>100000</v>
      </c>
      <c r="C34" s="6"/>
      <c r="D34" s="7" t="n">
        <f aca="false">D33+B34-C34</f>
        <v>4639992</v>
      </c>
    </row>
    <row r="35" customFormat="false" ht="12.8" hidden="false" customHeight="false" outlineLevel="0" collapsed="false">
      <c r="A35" s="9" t="n">
        <v>46101</v>
      </c>
      <c r="B35" s="5"/>
      <c r="C35" s="6"/>
      <c r="D35" s="7"/>
    </row>
    <row r="36" customFormat="false" ht="12.8" hidden="false" customHeight="false" outlineLevel="0" collapsed="false">
      <c r="A36" s="2" t="s">
        <v>23</v>
      </c>
      <c r="B36" s="5" t="n">
        <v>10000</v>
      </c>
      <c r="C36" s="6"/>
      <c r="D36" s="7" t="n">
        <f aca="false">D34+B36-C36</f>
        <v>4649992</v>
      </c>
    </row>
    <row r="37" customFormat="false" ht="12.8" hidden="false" customHeight="false" outlineLevel="0" collapsed="false">
      <c r="A37" s="4" t="n">
        <v>46104</v>
      </c>
      <c r="B37" s="5" t="s">
        <v>25</v>
      </c>
      <c r="C37" s="6"/>
      <c r="D37" s="7"/>
    </row>
    <row r="38" customFormat="false" ht="12.8" hidden="false" customHeight="false" outlineLevel="0" collapsed="false">
      <c r="A38" s="2" t="s">
        <v>26</v>
      </c>
      <c r="B38" s="5" t="n">
        <v>310000</v>
      </c>
      <c r="C38" s="6"/>
      <c r="D38" s="7" t="n">
        <f aca="false">D36+B38-C38</f>
        <v>4959992</v>
      </c>
    </row>
    <row r="39" customFormat="false" ht="12.8" hidden="false" customHeight="false" outlineLevel="0" collapsed="false">
      <c r="A39" s="2" t="s">
        <v>27</v>
      </c>
      <c r="B39" s="5" t="n">
        <v>310000</v>
      </c>
      <c r="C39" s="6"/>
      <c r="D39" s="7" t="n">
        <f aca="false">D38+B39-C39</f>
        <v>5269992</v>
      </c>
    </row>
    <row r="40" customFormat="false" ht="12.8" hidden="false" customHeight="false" outlineLevel="0" collapsed="false">
      <c r="A40" s="2" t="s">
        <v>28</v>
      </c>
      <c r="B40" s="5" t="n">
        <v>320000</v>
      </c>
      <c r="C40" s="6"/>
      <c r="D40" s="7" t="n">
        <f aca="false">D39+B40-C40</f>
        <v>5589992</v>
      </c>
    </row>
    <row r="41" customFormat="false" ht="12.8" hidden="false" customHeight="true" outlineLevel="0" collapsed="false">
      <c r="A41" s="2" t="s">
        <v>29</v>
      </c>
      <c r="B41" s="5" t="n">
        <v>320000</v>
      </c>
      <c r="C41" s="6"/>
      <c r="D41" s="7" t="n">
        <f aca="false">D40+B41-C41</f>
        <v>5909992</v>
      </c>
    </row>
    <row r="42" customFormat="false" ht="12.8" hidden="false" customHeight="true" outlineLevel="0" collapsed="false">
      <c r="A42" s="2" t="s">
        <v>30</v>
      </c>
      <c r="B42" s="5" t="n">
        <v>310000</v>
      </c>
      <c r="C42" s="6"/>
      <c r="D42" s="7" t="n">
        <f aca="false">D41+B42-C42</f>
        <v>6219992</v>
      </c>
    </row>
    <row r="43" customFormat="false" ht="12.8" hidden="false" customHeight="true" outlineLevel="0" collapsed="false">
      <c r="A43" s="2" t="s">
        <v>31</v>
      </c>
      <c r="B43" s="5" t="n">
        <v>310000</v>
      </c>
      <c r="C43" s="6"/>
      <c r="D43" s="7" t="n">
        <f aca="false">D42+B43-C43</f>
        <v>6529992</v>
      </c>
    </row>
    <row r="44" customFormat="false" ht="12.8" hidden="false" customHeight="true" outlineLevel="0" collapsed="false">
      <c r="A44" s="2" t="s">
        <v>32</v>
      </c>
      <c r="B44" s="5" t="n">
        <v>310000</v>
      </c>
      <c r="C44" s="6"/>
      <c r="D44" s="7" t="n">
        <f aca="false">D43+B44-C44</f>
        <v>6839992</v>
      </c>
    </row>
    <row r="45" customFormat="false" ht="12.8" hidden="false" customHeight="true" outlineLevel="0" collapsed="false">
      <c r="A45" s="4" t="n">
        <v>46106</v>
      </c>
      <c r="B45" s="5"/>
      <c r="C45" s="6"/>
      <c r="D45" s="7"/>
    </row>
    <row r="46" customFormat="false" ht="12.8" hidden="false" customHeight="true" outlineLevel="0" collapsed="false">
      <c r="A46" s="4" t="s">
        <v>33</v>
      </c>
      <c r="B46" s="5" t="n">
        <v>320000</v>
      </c>
      <c r="C46" s="6"/>
      <c r="D46" s="7" t="n">
        <f aca="false">D44+B46-C46</f>
        <v>7159992</v>
      </c>
    </row>
    <row r="47" customFormat="false" ht="12.8" hidden="false" customHeight="true" outlineLevel="0" collapsed="false">
      <c r="B47" s="5"/>
      <c r="C47" s="6" t="n">
        <v>200008</v>
      </c>
      <c r="D47" s="7" t="n">
        <f aca="false">D46+B47-C47</f>
        <v>6959984</v>
      </c>
    </row>
    <row r="48" customFormat="false" ht="12.8" hidden="false" customHeight="true" outlineLevel="0" collapsed="false">
      <c r="B48" s="5"/>
      <c r="C48" s="6" t="n">
        <v>600008</v>
      </c>
      <c r="D48" s="7" t="n">
        <f aca="false">D47+B48-C48</f>
        <v>6359976</v>
      </c>
    </row>
    <row r="49" customFormat="false" ht="12.8" hidden="false" customHeight="true" outlineLevel="0" collapsed="false">
      <c r="B49" s="5"/>
      <c r="C49" s="6" t="n">
        <v>100008</v>
      </c>
      <c r="D49" s="7" t="n">
        <f aca="false">D48+B49-C49</f>
        <v>6259968</v>
      </c>
    </row>
    <row r="50" customFormat="false" ht="12.8" hidden="false" customHeight="true" outlineLevel="0" collapsed="false">
      <c r="B50" s="5"/>
      <c r="C50" s="6" t="n">
        <v>100008</v>
      </c>
      <c r="D50" s="7" t="n">
        <f aca="false">D49+B50-C50</f>
        <v>6159960</v>
      </c>
    </row>
    <row r="51" customFormat="false" ht="12.8" hidden="false" customHeight="true" outlineLevel="0" collapsed="false">
      <c r="B51" s="5"/>
      <c r="C51" s="6" t="n">
        <v>267008</v>
      </c>
      <c r="D51" s="7" t="n">
        <f aca="false">D50+B51-C51</f>
        <v>5892952</v>
      </c>
    </row>
    <row r="52" customFormat="false" ht="12.8" hidden="false" customHeight="true" outlineLevel="0" collapsed="false">
      <c r="B52" s="5"/>
      <c r="C52" s="6" t="n">
        <v>100008</v>
      </c>
      <c r="D52" s="7" t="n">
        <f aca="false">D51+B52-C52</f>
        <v>5792944</v>
      </c>
    </row>
    <row r="53" customFormat="false" ht="12.8" hidden="false" customHeight="true" outlineLevel="0" collapsed="false">
      <c r="B53" s="5"/>
      <c r="C53" s="6" t="n">
        <v>500008</v>
      </c>
      <c r="D53" s="7" t="n">
        <f aca="false">D52+B53-C53</f>
        <v>5292936</v>
      </c>
    </row>
    <row r="54" customFormat="false" ht="12.8" hidden="false" customHeight="true" outlineLevel="0" collapsed="false">
      <c r="B54" s="5"/>
      <c r="C54" s="6" t="n">
        <v>650008</v>
      </c>
      <c r="D54" s="7" t="n">
        <f aca="false">D53+B54-C54</f>
        <v>4642928</v>
      </c>
    </row>
    <row r="55" customFormat="false" ht="12.8" hidden="false" customHeight="true" outlineLevel="0" collapsed="false">
      <c r="B55" s="5"/>
      <c r="C55" s="6" t="n">
        <v>150008</v>
      </c>
      <c r="D55" s="7" t="n">
        <f aca="false">D54+B55-C55</f>
        <v>4492920</v>
      </c>
    </row>
    <row r="56" customFormat="false" ht="12.8" hidden="false" customHeight="true" outlineLevel="0" collapsed="false">
      <c r="B56" s="5"/>
      <c r="C56" s="6" t="n">
        <v>300008</v>
      </c>
      <c r="D56" s="7" t="n">
        <f aca="false">D55+B56-C56</f>
        <v>4192912</v>
      </c>
    </row>
    <row r="57" customFormat="false" ht="12.8" hidden="false" customHeight="true" outlineLevel="0" collapsed="false">
      <c r="B57" s="5"/>
      <c r="C57" s="6" t="n">
        <v>321508</v>
      </c>
      <c r="D57" s="7" t="n">
        <f aca="false">D56+B57-C57</f>
        <v>3871404</v>
      </c>
    </row>
    <row r="58" customFormat="false" ht="12.8" hidden="false" customHeight="true" outlineLevel="0" collapsed="false">
      <c r="B58" s="5"/>
      <c r="C58" s="6" t="n">
        <v>450000</v>
      </c>
      <c r="D58" s="7" t="n">
        <f aca="false">D57+B58-C58</f>
        <v>3421404</v>
      </c>
    </row>
    <row r="59" customFormat="false" ht="12.8" hidden="false" customHeight="true" outlineLevel="0" collapsed="false">
      <c r="B59" s="5"/>
      <c r="C59" s="6" t="n">
        <v>140508</v>
      </c>
      <c r="D59" s="7" t="n">
        <f aca="false">D58+B59-C59</f>
        <v>3280896</v>
      </c>
    </row>
    <row r="60" customFormat="false" ht="12.8" hidden="false" customHeight="true" outlineLevel="0" collapsed="false">
      <c r="B60" s="5"/>
      <c r="C60" s="6" t="n">
        <v>350008</v>
      </c>
      <c r="D60" s="7" t="n">
        <f aca="false">D59+B60-C60</f>
        <v>2930888</v>
      </c>
    </row>
    <row r="61" customFormat="false" ht="12.8" hidden="false" customHeight="true" outlineLevel="0" collapsed="false">
      <c r="B61" s="5"/>
      <c r="C61" s="6" t="n">
        <v>122008</v>
      </c>
      <c r="D61" s="7" t="n">
        <f aca="false">D60+B61-C61</f>
        <v>2808880</v>
      </c>
    </row>
    <row r="62" customFormat="false" ht="12.8" hidden="false" customHeight="true" outlineLevel="0" collapsed="false">
      <c r="C62" s="6" t="n">
        <v>100008</v>
      </c>
      <c r="D62" s="7" t="n">
        <f aca="false">D61+B62-C62</f>
        <v>2708872</v>
      </c>
    </row>
    <row r="63" customFormat="false" ht="12.8" hidden="false" customHeight="true" outlineLevel="0" collapsed="false">
      <c r="C63" s="6" t="n">
        <v>200008</v>
      </c>
      <c r="D63" s="7" t="n">
        <f aca="false">D62+B63-C63</f>
        <v>2508864</v>
      </c>
    </row>
    <row r="64" customFormat="false" ht="12.8" hidden="false" customHeight="true" outlineLevel="0" collapsed="false">
      <c r="C64" s="6"/>
      <c r="D64" s="7" t="n">
        <f aca="false">D63+B64-C64</f>
        <v>2508864</v>
      </c>
    </row>
    <row r="65" customFormat="false" ht="12.8" hidden="false" customHeight="true" outlineLevel="0" collapsed="false">
      <c r="C65" s="6"/>
      <c r="D65" s="7" t="n">
        <f aca="false">D64+B65-C65</f>
        <v>2508864</v>
      </c>
    </row>
    <row r="68" customFormat="false" ht="12.8" hidden="false" customHeight="true" outlineLevel="0" collapsed="false">
      <c r="C68" s="10" t="n">
        <f aca="false">5000000-C69</f>
        <v>348872</v>
      </c>
    </row>
    <row r="69" customFormat="false" ht="12.8" hidden="false" customHeight="true" outlineLevel="0" collapsed="false">
      <c r="C69" s="10" t="n">
        <f aca="false">SUM(C47:C63)</f>
        <v>4651128</v>
      </c>
    </row>
    <row r="71" customFormat="false" ht="12.8" hidden="false" customHeight="true" outlineLevel="0" collapsed="false">
      <c r="C71" s="11" t="n">
        <f aca="false">D65-2331214.28</f>
        <v>177649.72</v>
      </c>
    </row>
  </sheetData>
  <printOptions headings="false" gridLines="false" gridLinesSet="true" horizontalCentered="false" verticalCentered="false"/>
  <pageMargins left="0.7875" right="0.7875" top="1.02638888888889" bottom="1.02638888888889" header="0.7875" footer="0.7875"/>
  <pageSetup paperSize="9" scale="100" fitToWidth="1" fitToHeight="0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  <colBreaks count="1" manualBreakCount="1">
    <brk id="3" man="true" max="65535" min="0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880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2025-10-29T16:02:15Z</dcterms:created>
  <dc:creator/>
  <dc:description/>
  <dc:language>en-US</dc:language>
  <cp:lastModifiedBy/>
  <cp:lastPrinted>2026-03-24T07:46:10Z</cp:lastPrinted>
  <dcterms:modified xsi:type="dcterms:W3CDTF">2026-04-18T19:35:46Z</dcterms:modified>
  <cp:revision>23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